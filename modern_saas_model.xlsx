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ummary" sheetId="6" state="visible" r:id="rId6"/>
  </sheets>
  <definedNames>
    <definedName name="DiscountRate">'Assumptions'!$B$5</definedName>
    <definedName name="TaxRate">'Assumptions'!$B$6</definedName>
    <definedName name="TerminalGrowthRate">'Assumptions'!$B$7</definedName>
    <definedName name="EBITDAMargin">'Assumptions'!$B$8</definedName>
    <definedName name="CapexPct">'Assumptions'!$B$9</definedName>
    <definedName name="DandAPct">'Assumptions'!$B$10</definedName>
    <definedName name="ARPUBase">'Assumptions'!$B$23</definedName>
    <definedName name="ChurnRate">'Assumptions'!$B$24</definedName>
    <definedName name="StartCustomers">'Assumptions'!$B$25</definedName>
    <definedName name="CAC">'Assumptions'!$B$26</definedName>
    <definedName name="GrowthRates">'Assumptions'!$C$14:$C$18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0"/>
  </numFmts>
  <fonts count="11">
    <font>
      <name val="Calibri"/>
      <family val="2"/>
      <color theme="1"/>
      <sz val="11"/>
      <scheme val="minor"/>
    </font>
    <font>
      <b val="1"/>
      <color rgb="001F3864"/>
    </font>
    <font>
      <b val="1"/>
      <color rgb="001F3864"/>
      <sz val="14"/>
    </font>
    <font>
      <b val="1"/>
      <color rgb="00FFFFFF"/>
      <sz val="12"/>
    </font>
    <font>
      <b val="1"/>
      <color rgb="00FFFFFF"/>
      <sz val="11"/>
    </font>
    <font>
      <color rgb="007F6000"/>
    </font>
    <font>
      <color rgb="00888888"/>
    </font>
    <font>
      <color rgb="00375623"/>
    </font>
    <font>
      <b val="1"/>
      <color rgb="00FFFFFF"/>
    </font>
    <font>
      <b val="1"/>
      <color rgb="00375623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164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164" fontId="0" fillId="5" borderId="0" pivotButton="0" quotePrefix="0" xfId="0"/>
    <xf numFmtId="0" fontId="6" fillId="0" borderId="0" pivotButton="0" quotePrefix="0" xfId="0"/>
    <xf numFmtId="165" fontId="0" fillId="4" borderId="0" pivotButton="0" quotePrefix="0" xfId="0"/>
    <xf numFmtId="3" fontId="0" fillId="4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3" borderId="0" pivotButton="0" quotePrefix="0" xfId="0"/>
    <xf numFmtId="0" fontId="9" fillId="5" borderId="0" pivotButton="0" quotePrefix="0" xfId="0"/>
    <xf numFmtId="0" fontId="10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10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ducts" displayName="Products" ref="A3:F8" headerRowCount="1">
  <autoFilter ref="A3:F8"/>
  <tableColumns count="6">
    <tableColumn id="1" name="ProductID"/>
    <tableColumn id="2" name="ProductName"/>
    <tableColumn id="3" name="Category"/>
    <tableColumn id="4" name="AnnualPrice"/>
    <tableColumn id="5" name="COGSPct"/>
    <tableColumn id="6" name="GrossMargin"/>
  </tableColumns>
  <tableStyleInfo name="TableStyleMedium9" showRowStripes="1"/>
</table>
</file>

<file path=xl/tables/table2.xml><?xml version="1.0" encoding="utf-8"?>
<table xmlns="http://schemas.openxmlformats.org/spreadsheetml/2006/main" id="2" name="Customers" displayName="Customers" ref="A3:H15" headerRowCount="1">
  <autoFilter ref="A3:H15"/>
  <tableColumns count="8">
    <tableColumn id="1" name="CustomerID"/>
    <tableColumn id="2" name="CustomerName"/>
    <tableColumn id="3" name="Segment"/>
    <tableColumn id="4" name="ProductID"/>
    <tableColumn id="5" name="ARR"/>
    <tableColumn id="6" name="Status"/>
    <tableColumn id="7" name="AnnualCOGS"/>
    <tableColumn id="8" name="Gross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SaaS Financial Model — Key Assumptions</t>
        </is>
      </c>
    </row>
    <row r="3">
      <c r="A3" s="2" t="inlineStr">
        <is>
          <t>Valuation Parameters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Named Range</t>
        </is>
      </c>
    </row>
    <row r="5">
      <c r="A5" t="inlineStr">
        <is>
          <t>Discount Rate (WACC)</t>
        </is>
      </c>
      <c r="B5" s="4" t="n">
        <v>0.1</v>
      </c>
      <c r="C5" s="5" t="inlineStr">
        <is>
          <t>DiscountRate</t>
        </is>
      </c>
    </row>
    <row r="6">
      <c r="A6" t="inlineStr">
        <is>
          <t>Tax Rate</t>
        </is>
      </c>
      <c r="B6" s="4" t="n">
        <v>0.25</v>
      </c>
      <c r="C6" s="5" t="inlineStr">
        <is>
          <t>TaxRate</t>
        </is>
      </c>
    </row>
    <row r="7">
      <c r="A7" t="inlineStr">
        <is>
          <t>Terminal Growth Rate</t>
        </is>
      </c>
      <c r="B7" s="4" t="n">
        <v>0.03</v>
      </c>
      <c r="C7" s="5" t="inlineStr">
        <is>
          <t>TerminalGrowthRate</t>
        </is>
      </c>
    </row>
    <row r="8">
      <c r="A8" t="inlineStr">
        <is>
          <t>EBITDA Margin</t>
        </is>
      </c>
      <c r="B8" s="4" t="n">
        <v>0.3</v>
      </c>
      <c r="C8" s="5" t="inlineStr">
        <is>
          <t>EBITDAMargin</t>
        </is>
      </c>
    </row>
    <row r="9">
      <c r="A9" t="inlineStr">
        <is>
          <t>Capex % of Revenue</t>
        </is>
      </c>
      <c r="B9" s="4" t="n">
        <v>0.05</v>
      </c>
      <c r="C9" s="5" t="inlineStr">
        <is>
          <t>CapexPct</t>
        </is>
      </c>
    </row>
    <row r="10">
      <c r="A10" t="inlineStr">
        <is>
          <t>D&amp;A % of Revenue</t>
        </is>
      </c>
      <c r="B10" s="4" t="n">
        <v>0.04</v>
      </c>
      <c r="C10" s="5" t="inlineStr">
        <is>
          <t>DandAPct</t>
        </is>
      </c>
    </row>
    <row r="12">
      <c r="A12" s="2" t="inlineStr">
        <is>
          <t>Annual Revenue Growth Rates</t>
        </is>
      </c>
    </row>
    <row r="13">
      <c r="A13" s="3" t="inlineStr">
        <is>
          <t>Year</t>
        </is>
      </c>
      <c r="B13" s="3" t="inlineStr">
        <is>
          <t>Label</t>
        </is>
      </c>
      <c r="C13" s="3" t="inlineStr">
        <is>
          <t>Growth Rate</t>
        </is>
      </c>
    </row>
    <row r="14">
      <c r="A14" s="6" t="n">
        <v>1</v>
      </c>
      <c r="B14" t="inlineStr">
        <is>
          <t>Year 1 — 2025</t>
        </is>
      </c>
      <c r="C14" s="7" t="n">
        <v>0.4</v>
      </c>
    </row>
    <row r="15">
      <c r="A15" s="6" t="n">
        <v>2</v>
      </c>
      <c r="B15" t="inlineStr">
        <is>
          <t>Year 2 — 2026</t>
        </is>
      </c>
      <c r="C15" s="7" t="n">
        <v>0.35</v>
      </c>
    </row>
    <row r="16">
      <c r="A16" s="6" t="n">
        <v>3</v>
      </c>
      <c r="B16" t="inlineStr">
        <is>
          <t>Year 3 — 2027</t>
        </is>
      </c>
      <c r="C16" s="7" t="n">
        <v>0.28</v>
      </c>
    </row>
    <row r="17">
      <c r="A17" s="6" t="n">
        <v>4</v>
      </c>
      <c r="B17" t="inlineStr">
        <is>
          <t>Year 4 — 2028</t>
        </is>
      </c>
      <c r="C17" s="7" t="n">
        <v>0.2</v>
      </c>
    </row>
    <row r="18">
      <c r="A18" s="6" t="n">
        <v>5</v>
      </c>
      <c r="B18" t="inlineStr">
        <is>
          <t>Year 5 — 2029</t>
        </is>
      </c>
      <c r="C18" s="7" t="n">
        <v>0.15</v>
      </c>
    </row>
    <row r="19">
      <c r="A19" s="8" t="inlineStr">
        <is>
          <t>↑ Named range 'GrowthRates' = C14:C18</t>
        </is>
      </c>
    </row>
    <row r="21">
      <c r="A21" s="2" t="inlineStr">
        <is>
          <t>SaaS Operating Metrics</t>
        </is>
      </c>
    </row>
    <row r="22">
      <c r="A22" s="3" t="inlineStr">
        <is>
          <t>Metric</t>
        </is>
      </c>
      <c r="B22" s="3" t="inlineStr">
        <is>
          <t>Value</t>
        </is>
      </c>
      <c r="C22" s="3" t="inlineStr">
        <is>
          <t>Named Range</t>
        </is>
      </c>
    </row>
    <row r="23">
      <c r="A23" t="inlineStr">
        <is>
          <t>Base ARPU (Annual, $)</t>
        </is>
      </c>
      <c r="B23" s="9" t="n">
        <v>12000</v>
      </c>
      <c r="C23" s="5" t="inlineStr">
        <is>
          <t>ARPUBase</t>
        </is>
      </c>
    </row>
    <row r="24">
      <c r="A24" t="inlineStr">
        <is>
          <t>Monthly Churn Rate</t>
        </is>
      </c>
      <c r="B24" s="4" t="n">
        <v>0.02</v>
      </c>
      <c r="C24" s="5" t="inlineStr">
        <is>
          <t>ChurnRate</t>
        </is>
      </c>
    </row>
    <row r="25">
      <c r="A25" t="inlineStr">
        <is>
          <t>Starting Customer Count</t>
        </is>
      </c>
      <c r="B25" s="10" t="n">
        <v>50</v>
      </c>
      <c r="C25" s="5" t="inlineStr">
        <is>
          <t>StartCustomers</t>
        </is>
      </c>
    </row>
    <row r="26">
      <c r="A26" t="inlineStr">
        <is>
          <t>Customer Acquisition Cost ($)</t>
        </is>
      </c>
      <c r="B26" s="9" t="n">
        <v>8000</v>
      </c>
      <c r="C26" s="5" t="inlineStr">
        <is>
          <t>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Product Catalog</t>
        </is>
      </c>
    </row>
    <row r="2">
      <c r="A2" s="8" t="inlineStr">
        <is>
          <t>Excel Table: 'Products'  |  Structured-ref demo: =1-[@COGSPct]</t>
        </is>
      </c>
    </row>
    <row r="3">
      <c r="A3" s="3" t="inlineStr">
        <is>
          <t>ProductID</t>
        </is>
      </c>
      <c r="B3" s="3" t="inlineStr">
        <is>
          <t>ProductName</t>
        </is>
      </c>
      <c r="C3" s="3" t="inlineStr">
        <is>
          <t>Category</t>
        </is>
      </c>
      <c r="D3" s="3" t="inlineStr">
        <is>
          <t>AnnualPrice</t>
        </is>
      </c>
      <c r="E3" s="3" t="inlineStr">
        <is>
          <t>COGSPct</t>
        </is>
      </c>
      <c r="F3" s="3" t="inlineStr">
        <is>
          <t>GrossMargin</t>
        </is>
      </c>
    </row>
    <row r="4">
      <c r="A4" t="inlineStr">
        <is>
          <t>P001</t>
        </is>
      </c>
      <c r="B4" t="inlineStr">
        <is>
          <t>Starter</t>
        </is>
      </c>
      <c r="C4" t="inlineStr">
        <is>
          <t>SMB</t>
        </is>
      </c>
      <c r="D4" s="11" t="n">
        <v>6000</v>
      </c>
      <c r="E4" s="12" t="n">
        <v>0.15</v>
      </c>
      <c r="F4" s="13">
        <f>1-[@COGSPct]</f>
        <v/>
      </c>
    </row>
    <row r="5">
      <c r="A5" t="inlineStr">
        <is>
          <t>P002</t>
        </is>
      </c>
      <c r="B5" t="inlineStr">
        <is>
          <t>Professional</t>
        </is>
      </c>
      <c r="C5" t="inlineStr">
        <is>
          <t>Mid-Market</t>
        </is>
      </c>
      <c r="D5" s="11" t="n">
        <v>18000</v>
      </c>
      <c r="E5" s="12" t="n">
        <v>0.12</v>
      </c>
      <c r="F5" s="13">
        <f>1-[@COGSPct]</f>
        <v/>
      </c>
    </row>
    <row r="6">
      <c r="A6" t="inlineStr">
        <is>
          <t>P003</t>
        </is>
      </c>
      <c r="B6" t="inlineStr">
        <is>
          <t>Enterprise</t>
        </is>
      </c>
      <c r="C6" t="inlineStr">
        <is>
          <t>Enterprise</t>
        </is>
      </c>
      <c r="D6" s="11" t="n">
        <v>60000</v>
      </c>
      <c r="E6" s="12" t="n">
        <v>0.08</v>
      </c>
      <c r="F6" s="13">
        <f>1-[@COGSPct]</f>
        <v/>
      </c>
    </row>
    <row r="7">
      <c r="A7" t="inlineStr">
        <is>
          <t>P004</t>
        </is>
      </c>
      <c r="B7" t="inlineStr">
        <is>
          <t>Analytics Add-on</t>
        </is>
      </c>
      <c r="C7" t="inlineStr">
        <is>
          <t>Add-on</t>
        </is>
      </c>
      <c r="D7" s="11" t="n">
        <v>4800</v>
      </c>
      <c r="E7" s="12" t="n">
        <v>0.2</v>
      </c>
      <c r="F7" s="13">
        <f>1-[@COGSPct]</f>
        <v/>
      </c>
    </row>
    <row r="8">
      <c r="A8" t="inlineStr">
        <is>
          <t>P005</t>
        </is>
      </c>
      <c r="B8" t="inlineStr">
        <is>
          <t>API Access</t>
        </is>
      </c>
      <c r="C8" t="inlineStr">
        <is>
          <t>Add-on</t>
        </is>
      </c>
      <c r="D8" s="11" t="n">
        <v>3600</v>
      </c>
      <c r="E8" s="12" t="n">
        <v>0.22</v>
      </c>
      <c r="F8" s="13">
        <f>1-[@COGSPct]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13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Customer Database</t>
        </is>
      </c>
    </row>
    <row r="2">
      <c r="A2" s="8" t="inlineStr">
        <is>
          <t>Excel Table: 'Customers'  |  XLOOKUP + structured refs in every formula row</t>
        </is>
      </c>
    </row>
    <row r="3">
      <c r="A3" s="3" t="inlineStr">
        <is>
          <t>CustomerID</t>
        </is>
      </c>
      <c r="B3" s="3" t="inlineStr">
        <is>
          <t>CustomerName</t>
        </is>
      </c>
      <c r="C3" s="3" t="inlineStr">
        <is>
          <t>Segment</t>
        </is>
      </c>
      <c r="D3" s="3" t="inlineStr">
        <is>
          <t>ProductID</t>
        </is>
      </c>
      <c r="E3" s="3" t="inlineStr">
        <is>
          <t>ARR</t>
        </is>
      </c>
      <c r="F3" s="3" t="inlineStr">
        <is>
          <t>Status</t>
        </is>
      </c>
      <c r="G3" s="3" t="inlineStr">
        <is>
          <t>AnnualCOGS</t>
        </is>
      </c>
      <c r="H3" s="3" t="inlineStr">
        <is>
          <t>GrossProfit</t>
        </is>
      </c>
    </row>
    <row r="4">
      <c r="A4" t="inlineStr">
        <is>
          <t>C001</t>
        </is>
      </c>
      <c r="B4" t="inlineStr">
        <is>
          <t>Acme Corp</t>
        </is>
      </c>
      <c r="C4" t="inlineStr">
        <is>
          <t>Mid-Market</t>
        </is>
      </c>
      <c r="D4" t="inlineStr">
        <is>
          <t>P002</t>
        </is>
      </c>
      <c r="E4" s="14">
        <f>XLOOKUP([@ProductID],Products[ProductID],Products[AnnualPrice])</f>
        <v/>
      </c>
      <c r="F4" t="inlineStr">
        <is>
          <t>Active</t>
        </is>
      </c>
      <c r="G4" s="14">
        <f>[@ARR]*XLOOKUP([@ProductID],Products[ProductID],Products[COGSPct])</f>
        <v/>
      </c>
      <c r="H4" s="14">
        <f>[@ARR]-[@AnnualCOGS]</f>
        <v/>
      </c>
    </row>
    <row r="5">
      <c r="A5" t="inlineStr">
        <is>
          <t>C002</t>
        </is>
      </c>
      <c r="B5" t="inlineStr">
        <is>
          <t>TechStart Inc</t>
        </is>
      </c>
      <c r="C5" t="inlineStr">
        <is>
          <t>SMB</t>
        </is>
      </c>
      <c r="D5" t="inlineStr">
        <is>
          <t>P001</t>
        </is>
      </c>
      <c r="E5" s="14">
        <f>XLOOKUP([@ProductID],Products[ProductID],Products[AnnualPrice])</f>
        <v/>
      </c>
      <c r="F5" t="inlineStr">
        <is>
          <t>Active</t>
        </is>
      </c>
      <c r="G5" s="14">
        <f>[@ARR]*XLOOKUP([@ProductID],Products[ProductID],Products[COGSPct])</f>
        <v/>
      </c>
      <c r="H5" s="14">
        <f>[@ARR]-[@AnnualCOGS]</f>
        <v/>
      </c>
    </row>
    <row r="6">
      <c r="A6" t="inlineStr">
        <is>
          <t>C003</t>
        </is>
      </c>
      <c r="B6" t="inlineStr">
        <is>
          <t>GlobalNet</t>
        </is>
      </c>
      <c r="C6" t="inlineStr">
        <is>
          <t>Enterprise</t>
        </is>
      </c>
      <c r="D6" t="inlineStr">
        <is>
          <t>P003</t>
        </is>
      </c>
      <c r="E6" s="14">
        <f>XLOOKUP([@ProductID],Products[ProductID],Products[AnnualPrice])</f>
        <v/>
      </c>
      <c r="F6" t="inlineStr">
        <is>
          <t>Active</t>
        </is>
      </c>
      <c r="G6" s="14">
        <f>[@ARR]*XLOOKUP([@ProductID],Products[ProductID],Products[COGSPct])</f>
        <v/>
      </c>
      <c r="H6" s="14">
        <f>[@ARR]-[@AnnualCOGS]</f>
        <v/>
      </c>
    </row>
    <row r="7">
      <c r="A7" t="inlineStr">
        <is>
          <t>C004</t>
        </is>
      </c>
      <c r="B7" t="inlineStr">
        <is>
          <t>Pixel Labs</t>
        </is>
      </c>
      <c r="C7" t="inlineStr">
        <is>
          <t>SMB</t>
        </is>
      </c>
      <c r="D7" t="inlineStr">
        <is>
          <t>P001</t>
        </is>
      </c>
      <c r="E7" s="14">
        <f>XLOOKUP([@ProductID],Products[ProductID],Products[AnnualPrice])</f>
        <v/>
      </c>
      <c r="F7" t="inlineStr">
        <is>
          <t>Churned</t>
        </is>
      </c>
      <c r="G7" s="14">
        <f>[@ARR]*XLOOKUP([@ProductID],Products[ProductID],Products[COGSPct])</f>
        <v/>
      </c>
      <c r="H7" s="14">
        <f>[@ARR]-[@AnnualCOGS]</f>
        <v/>
      </c>
    </row>
    <row r="8">
      <c r="A8" t="inlineStr">
        <is>
          <t>C005</t>
        </is>
      </c>
      <c r="B8" t="inlineStr">
        <is>
          <t>DataDriven Co</t>
        </is>
      </c>
      <c r="C8" t="inlineStr">
        <is>
          <t>Mid-Market</t>
        </is>
      </c>
      <c r="D8" t="inlineStr">
        <is>
          <t>P002</t>
        </is>
      </c>
      <c r="E8" s="14">
        <f>XLOOKUP([@ProductID],Products[ProductID],Products[AnnualPrice])</f>
        <v/>
      </c>
      <c r="F8" t="inlineStr">
        <is>
          <t>Active</t>
        </is>
      </c>
      <c r="G8" s="14">
        <f>[@ARR]*XLOOKUP([@ProductID],Products[ProductID],Products[COGSPct])</f>
        <v/>
      </c>
      <c r="H8" s="14">
        <f>[@ARR]-[@AnnualCOGS]</f>
        <v/>
      </c>
    </row>
    <row r="9">
      <c r="A9" t="inlineStr">
        <is>
          <t>C006</t>
        </is>
      </c>
      <c r="B9" t="inlineStr">
        <is>
          <t>SkyBridge Ltd</t>
        </is>
      </c>
      <c r="C9" t="inlineStr">
        <is>
          <t>Enterprise</t>
        </is>
      </c>
      <c r="D9" t="inlineStr">
        <is>
          <t>P003</t>
        </is>
      </c>
      <c r="E9" s="14">
        <f>XLOOKUP([@ProductID],Products[ProductID],Products[AnnualPrice])</f>
        <v/>
      </c>
      <c r="F9" t="inlineStr">
        <is>
          <t>Active</t>
        </is>
      </c>
      <c r="G9" s="14">
        <f>[@ARR]*XLOOKUP([@ProductID],Products[ProductID],Products[COGSPct])</f>
        <v/>
      </c>
      <c r="H9" s="14">
        <f>[@ARR]-[@AnnualCOGS]</f>
        <v/>
      </c>
    </row>
    <row r="10">
      <c r="A10" t="inlineStr">
        <is>
          <t>C007</t>
        </is>
      </c>
      <c r="B10" t="inlineStr">
        <is>
          <t>Neon Startup</t>
        </is>
      </c>
      <c r="C10" t="inlineStr">
        <is>
          <t>SMB</t>
        </is>
      </c>
      <c r="D10" t="inlineStr">
        <is>
          <t>P004</t>
        </is>
      </c>
      <c r="E10" s="14">
        <f>XLOOKUP([@ProductID],Products[ProductID],Products[AnnualPrice])</f>
        <v/>
      </c>
      <c r="F10" t="inlineStr">
        <is>
          <t>Active</t>
        </is>
      </c>
      <c r="G10" s="14">
        <f>[@ARR]*XLOOKUP([@ProductID],Products[ProductID],Products[COGSPct])</f>
        <v/>
      </c>
      <c r="H10" s="14">
        <f>[@ARR]-[@AnnualCOGS]</f>
        <v/>
      </c>
    </row>
    <row r="11">
      <c r="A11" t="inlineStr">
        <is>
          <t>C008</t>
        </is>
      </c>
      <c r="B11" t="inlineStr">
        <is>
          <t>CloudVault</t>
        </is>
      </c>
      <c r="C11" t="inlineStr">
        <is>
          <t>Mid-Market</t>
        </is>
      </c>
      <c r="D11" t="inlineStr">
        <is>
          <t>P002</t>
        </is>
      </c>
      <c r="E11" s="14">
        <f>XLOOKUP([@ProductID],Products[ProductID],Products[AnnualPrice])</f>
        <v/>
      </c>
      <c r="F11" t="inlineStr">
        <is>
          <t>Active</t>
        </is>
      </c>
      <c r="G11" s="14">
        <f>[@ARR]*XLOOKUP([@ProductID],Products[ProductID],Products[COGSPct])</f>
        <v/>
      </c>
      <c r="H11" s="14">
        <f>[@ARR]-[@AnnualCOGS]</f>
        <v/>
      </c>
    </row>
    <row r="12">
      <c r="A12" t="inlineStr">
        <is>
          <t>C009</t>
        </is>
      </c>
      <c r="B12" t="inlineStr">
        <is>
          <t>IronForge LLC</t>
        </is>
      </c>
      <c r="C12" t="inlineStr">
        <is>
          <t>Enterprise</t>
        </is>
      </c>
      <c r="D12" t="inlineStr">
        <is>
          <t>P003</t>
        </is>
      </c>
      <c r="E12" s="14">
        <f>XLOOKUP([@ProductID],Products[ProductID],Products[AnnualPrice])</f>
        <v/>
      </c>
      <c r="F12" t="inlineStr">
        <is>
          <t>Active</t>
        </is>
      </c>
      <c r="G12" s="14">
        <f>[@ARR]*XLOOKUP([@ProductID],Products[ProductID],Products[COGSPct])</f>
        <v/>
      </c>
      <c r="H12" s="14">
        <f>[@ARR]-[@AnnualCOGS]</f>
        <v/>
      </c>
    </row>
    <row r="13">
      <c r="A13" t="inlineStr">
        <is>
          <t>C010</t>
        </is>
      </c>
      <c r="B13" t="inlineStr">
        <is>
          <t>Quickfire Inc</t>
        </is>
      </c>
      <c r="C13" t="inlineStr">
        <is>
          <t>SMB</t>
        </is>
      </c>
      <c r="D13" t="inlineStr">
        <is>
          <t>P001</t>
        </is>
      </c>
      <c r="E13" s="14">
        <f>XLOOKUP([@ProductID],Products[ProductID],Products[AnnualPrice])</f>
        <v/>
      </c>
      <c r="F13" t="inlineStr">
        <is>
          <t>Churned</t>
        </is>
      </c>
      <c r="G13" s="14">
        <f>[@ARR]*XLOOKUP([@ProductID],Products[ProductID],Products[COGSPct])</f>
        <v/>
      </c>
      <c r="H13" s="14">
        <f>[@ARR]-[@AnnualCOGS]</f>
        <v/>
      </c>
    </row>
    <row r="14">
      <c r="A14" t="inlineStr">
        <is>
          <t>C011</t>
        </is>
      </c>
      <c r="B14" t="inlineStr">
        <is>
          <t>Apex Analytics</t>
        </is>
      </c>
      <c r="C14" t="inlineStr">
        <is>
          <t>Mid-Market</t>
        </is>
      </c>
      <c r="D14" t="inlineStr">
        <is>
          <t>P005</t>
        </is>
      </c>
      <c r="E14" s="14">
        <f>XLOOKUP([@ProductID],Products[ProductID],Products[AnnualPrice])</f>
        <v/>
      </c>
      <c r="F14" t="inlineStr">
        <is>
          <t>Active</t>
        </is>
      </c>
      <c r="G14" s="14">
        <f>[@ARR]*XLOOKUP([@ProductID],Products[ProductID],Products[COGSPct])</f>
        <v/>
      </c>
      <c r="H14" s="14">
        <f>[@ARR]-[@AnnualCOGS]</f>
        <v/>
      </c>
    </row>
    <row r="15">
      <c r="A15" t="inlineStr">
        <is>
          <t>C012</t>
        </is>
      </c>
      <c r="B15" t="inlineStr">
        <is>
          <t>ClearPath</t>
        </is>
      </c>
      <c r="C15" t="inlineStr">
        <is>
          <t>Enterprise</t>
        </is>
      </c>
      <c r="D15" t="inlineStr">
        <is>
          <t>P003</t>
        </is>
      </c>
      <c r="E15" s="14">
        <f>XLOOKUP([@ProductID],Products[ProductID],Products[AnnualPrice])</f>
        <v/>
      </c>
      <c r="F15" t="inlineStr">
        <is>
          <t>Active</t>
        </is>
      </c>
      <c r="G15" s="14">
        <f>[@ARR]*XLOOKUP([@ProductID],Products[ProductID],Products[COGSPct])</f>
        <v/>
      </c>
      <c r="H15" s="14">
        <f>[@ARR]-[@AnnualCOGS]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5-Year Revenue Projections</t>
        </is>
      </c>
    </row>
    <row r="2">
      <c r="A2" s="8" t="inlineStr">
        <is>
          <t>Uses named ranges (EBITDAMargin, TaxRate, …), LET, and SEQUENCE (spill)</t>
        </is>
      </c>
    </row>
    <row r="4">
      <c r="A4" s="15" t="inlineStr">
        <is>
          <t>Year</t>
        </is>
      </c>
      <c r="B4" s="16">
        <f>SEQUENCE(1,5,2025)</f>
        <v/>
      </c>
    </row>
    <row r="5">
      <c r="A5" s="15" t="inlineStr">
        <is>
          <t>Base ARR ($)</t>
        </is>
      </c>
      <c r="B5" s="14">
        <f>SUM(Customers[ARR])</f>
        <v/>
      </c>
      <c r="C5" s="14">
        <f>ROUND(B5*(1+INDEX(GrowthRates,1)),0)</f>
        <v/>
      </c>
      <c r="D5" s="14">
        <f>ROUND(C5*(1+INDEX(GrowthRates,2)),0)</f>
        <v/>
      </c>
      <c r="E5" s="14">
        <f>ROUND(D5*(1+INDEX(GrowthRates,3)),0)</f>
        <v/>
      </c>
      <c r="F5" s="14">
        <f>ROUND(E5*(1+INDEX(GrowthRates,4)),0)</f>
        <v/>
      </c>
    </row>
    <row r="6">
      <c r="A6" s="15" t="inlineStr">
        <is>
          <t>EBITDA ($)</t>
        </is>
      </c>
      <c r="B6" s="14">
        <f>ROUND(B5*EBITDAMargin,0)</f>
        <v/>
      </c>
      <c r="C6" s="14">
        <f>ROUND(C5*EBITDAMargin,0)</f>
        <v/>
      </c>
      <c r="D6" s="14">
        <f>ROUND(D5*EBITDAMargin,0)</f>
        <v/>
      </c>
      <c r="E6" s="14">
        <f>ROUND(E5*EBITDAMargin,0)</f>
        <v/>
      </c>
      <c r="F6" s="14">
        <f>ROUND(F5*EBITDAMargin,0)</f>
        <v/>
      </c>
    </row>
    <row r="7">
      <c r="A7" s="15" t="inlineStr">
        <is>
          <t>D&amp;A ($)</t>
        </is>
      </c>
      <c r="B7" s="14">
        <f>ROUND(B5*DandAPct,0)</f>
        <v/>
      </c>
      <c r="C7" s="14">
        <f>ROUND(C5*DandAPct,0)</f>
        <v/>
      </c>
      <c r="D7" s="14">
        <f>ROUND(D5*DandAPct,0)</f>
        <v/>
      </c>
      <c r="E7" s="14">
        <f>ROUND(E5*DandAPct,0)</f>
        <v/>
      </c>
      <c r="F7" s="14">
        <f>ROUND(F5*DandAPct,0)</f>
        <v/>
      </c>
    </row>
    <row r="8">
      <c r="A8" s="15" t="inlineStr">
        <is>
          <t>EBIT ($)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</row>
    <row r="9">
      <c r="A9" s="15" t="inlineStr">
        <is>
          <t>Taxes ($)</t>
        </is>
      </c>
      <c r="B9" s="14">
        <f>MAX(B8*TaxRate,0)</f>
        <v/>
      </c>
      <c r="C9" s="14">
        <f>MAX(C8*TaxRate,0)</f>
        <v/>
      </c>
      <c r="D9" s="14">
        <f>MAX(D8*TaxRate,0)</f>
        <v/>
      </c>
      <c r="E9" s="14">
        <f>MAX(E8*TaxRate,0)</f>
        <v/>
      </c>
      <c r="F9" s="14">
        <f>MAX(F8*TaxRate,0)</f>
        <v/>
      </c>
    </row>
    <row r="10">
      <c r="A10" s="15" t="inlineStr">
        <is>
          <t>NOPAT ($)</t>
        </is>
      </c>
      <c r="B10" s="14">
        <f>B8-B9</f>
        <v/>
      </c>
      <c r="C10" s="14">
        <f>C8-C9</f>
        <v/>
      </c>
      <c r="D10" s="14">
        <f>D8-D9</f>
        <v/>
      </c>
      <c r="E10" s="14">
        <f>E8-E9</f>
        <v/>
      </c>
      <c r="F10" s="14">
        <f>F8-F9</f>
        <v/>
      </c>
    </row>
    <row r="11">
      <c r="A11" s="15" t="inlineStr">
        <is>
          <t>CapEx ($)</t>
        </is>
      </c>
      <c r="B11" s="14">
        <f>ROUND(B5*CapexPct,0)</f>
        <v/>
      </c>
      <c r="C11" s="14">
        <f>ROUND(C5*CapexPct,0)</f>
        <v/>
      </c>
      <c r="D11" s="14">
        <f>ROUND(D5*CapexPct,0)</f>
        <v/>
      </c>
      <c r="E11" s="14">
        <f>ROUND(E5*CapexPct,0)</f>
        <v/>
      </c>
      <c r="F11" s="14">
        <f>ROUND(F5*CapexPct,0)</f>
        <v/>
      </c>
    </row>
    <row r="12">
      <c r="A12" s="15" t="inlineStr">
        <is>
          <t>Free Cash Flow ($)</t>
        </is>
      </c>
      <c r="B12" s="14">
        <f>LET(nopat,B10,da,B7,capex,B11,nopat+da-capex)</f>
        <v/>
      </c>
      <c r="C12" s="14">
        <f>LET(nopat,C10,da,C7,capex,C11,nopat+da-capex)</f>
        <v/>
      </c>
      <c r="D12" s="14">
        <f>LET(nopat,D10,da,D7,capex,D11,nopat+da-capex)</f>
        <v/>
      </c>
      <c r="E12" s="14">
        <f>LET(nopat,E10,da,E7,capex,E11,nopat+da-capex)</f>
        <v/>
      </c>
      <c r="F12" s="14">
        <f>LET(nopat,F10,da,F7,capex,F11,nopat+da-capex)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Discounted Cash Flow Model</t>
        </is>
      </c>
    </row>
    <row r="2">
      <c r="A2" s="8" t="inlineStr">
        <is>
          <t>Named ranges: DiscountRate, TerminalGrowthRate  |  LET for terminal value</t>
        </is>
      </c>
    </row>
    <row r="4">
      <c r="A4" s="17" t="inlineStr">
        <is>
          <t>WACC (DiscountRate)</t>
        </is>
      </c>
      <c r="B4" s="13">
        <f>DiscountRate</f>
        <v/>
      </c>
    </row>
    <row r="5">
      <c r="A5" s="17" t="inlineStr">
        <is>
          <t>Terminal Growth Rate</t>
        </is>
      </c>
      <c r="B5" s="13">
        <f>TerminalGrowthRate</f>
        <v/>
      </c>
    </row>
    <row r="6">
      <c r="A6" s="17" t="inlineStr">
        <is>
          <t>Tax Rate</t>
        </is>
      </c>
      <c r="B6" s="13">
        <f>TaxRate</f>
        <v/>
      </c>
    </row>
    <row r="8">
      <c r="A8" s="3" t="inlineStr"/>
      <c r="B8" s="3" t="inlineStr">
        <is>
          <t>Yr 1</t>
        </is>
      </c>
      <c r="C8" s="3" t="inlineStr">
        <is>
          <t>Yr 2</t>
        </is>
      </c>
      <c r="D8" s="3" t="inlineStr">
        <is>
          <t>Yr 3</t>
        </is>
      </c>
      <c r="E8" s="3" t="inlineStr">
        <is>
          <t>Yr 4</t>
        </is>
      </c>
      <c r="F8" s="3" t="inlineStr">
        <is>
          <t>Yr 5</t>
        </is>
      </c>
    </row>
    <row r="9">
      <c r="A9" s="17" t="inlineStr">
        <is>
          <t>Free Cash Flow ($)</t>
        </is>
      </c>
      <c r="B9" s="11">
        <f>Projections!B12</f>
        <v/>
      </c>
      <c r="C9" s="11">
        <f>Projections!C12</f>
        <v/>
      </c>
      <c r="D9" s="11">
        <f>Projections!D12</f>
        <v/>
      </c>
      <c r="E9" s="11">
        <f>Projections!E12</f>
        <v/>
      </c>
      <c r="F9" s="11">
        <f>Projections!F12</f>
        <v/>
      </c>
    </row>
    <row r="10">
      <c r="A10" s="17" t="inlineStr">
        <is>
          <t>Discount Factor</t>
        </is>
      </c>
      <c r="B10" s="18">
        <f>1/(1+DiscountRate)^1</f>
        <v/>
      </c>
      <c r="C10" s="18">
        <f>1/(1+DiscountRate)^2</f>
        <v/>
      </c>
      <c r="D10" s="18">
        <f>1/(1+DiscountRate)^3</f>
        <v/>
      </c>
      <c r="E10" s="18">
        <f>1/(1+DiscountRate)^4</f>
        <v/>
      </c>
      <c r="F10" s="18">
        <f>1/(1+DiscountRate)^5</f>
        <v/>
      </c>
    </row>
    <row r="11">
      <c r="A11" s="17" t="inlineStr">
        <is>
          <t>PV of FCF ($)</t>
        </is>
      </c>
      <c r="B11" s="11">
        <f>B9*B10</f>
        <v/>
      </c>
      <c r="C11" s="11">
        <f>C9*C10</f>
        <v/>
      </c>
      <c r="D11" s="11">
        <f>D9*D10</f>
        <v/>
      </c>
      <c r="E11" s="11">
        <f>E9*E10</f>
        <v/>
      </c>
      <c r="F11" s="11">
        <f>F9*F10</f>
        <v/>
      </c>
    </row>
    <row r="13">
      <c r="A13" s="17" t="inlineStr">
        <is>
          <t>Sum PV of FCFs ($)</t>
        </is>
      </c>
      <c r="B13" s="11">
        <f>SUM(B11:F11)</f>
        <v/>
      </c>
    </row>
    <row r="14">
      <c r="A14" s="17" t="inlineStr">
        <is>
          <t>NPV check ($)</t>
        </is>
      </c>
      <c r="B14" s="14">
        <f>NPV(DiscountRate,B9:F9)</f>
        <v/>
      </c>
    </row>
    <row r="15">
      <c r="A15" s="17" t="inlineStr">
        <is>
          <t>Terminal Value PV ($)</t>
        </is>
      </c>
      <c r="B15" s="14">
        <f>LET(last_fcf,F9,tv,last_fcf*(1+TerminalGrowthRate)/(DiscountRate-TerminalGrowthRate),pv_tv,tv/(1+DiscountRate)^5,pv_tv)</f>
        <v/>
      </c>
    </row>
    <row r="17">
      <c r="A17" s="19" t="inlineStr">
        <is>
          <t>Enterprise Value ($)</t>
        </is>
      </c>
      <c r="B17" s="20">
        <f>B13+B15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</cols>
  <sheetData>
    <row r="1">
      <c r="A1" s="1" t="inlineStr">
        <is>
          <t>Executive Summary — Dynamic Array Demo</t>
        </is>
      </c>
    </row>
    <row r="2">
      <c r="A2" s="8" t="inlineStr">
        <is>
          <t>UNIQUE / FILTER / spill-range (#) — features invisible to regex parsers</t>
        </is>
      </c>
    </row>
    <row r="4">
      <c r="A4" s="2" t="inlineStr">
        <is>
          <t>Key Metrics</t>
        </is>
      </c>
    </row>
    <row r="5">
      <c r="A5" s="17" t="inlineStr">
        <is>
          <t>Total Current ARR ($)</t>
        </is>
      </c>
      <c r="B5" s="11">
        <f>SUM(Customers[ARR])</f>
        <v/>
      </c>
    </row>
    <row r="6">
      <c r="A6" s="17" t="inlineStr">
        <is>
          <t>Active Customers</t>
        </is>
      </c>
      <c r="B6">
        <f>COUNTIF(Customers[Status],"Active")</f>
        <v/>
      </c>
    </row>
    <row r="7">
      <c r="A7" s="17" t="inlineStr">
        <is>
          <t>Avg ARR per Customer ($)</t>
        </is>
      </c>
      <c r="B7" s="11">
        <f>IFERROR(B5/B6,0)</f>
        <v/>
      </c>
    </row>
    <row r="8">
      <c r="A8" s="17" t="inlineStr">
        <is>
          <t>Enterprise Value ($)</t>
        </is>
      </c>
      <c r="B8" s="11">
        <f>DCF!B17</f>
        <v/>
      </c>
    </row>
    <row r="10">
      <c r="A10" s="2" t="inlineStr">
        <is>
          <t>ARR by Segment  (UNIQUE spill + SUMIF on A11#)</t>
        </is>
      </c>
    </row>
    <row r="11">
      <c r="A11" s="3" t="inlineStr">
        <is>
          <t>Segment</t>
        </is>
      </c>
      <c r="B11" s="3" t="inlineStr">
        <is>
          <t>Total ARR ($)</t>
        </is>
      </c>
      <c r="C11" s="3" t="inlineStr">
        <is>
          <t>% of Total</t>
        </is>
      </c>
    </row>
    <row r="12">
      <c r="A12" s="21">
        <f>UNIQUE(Customers[Segment])</f>
        <v/>
      </c>
      <c r="B12" s="14">
        <f>SUMIF(Customers[Segment],A12#,Customers[ARR])</f>
        <v/>
      </c>
      <c r="C12" s="13">
        <f>B12#/SUM(Customers[ARR])</f>
        <v/>
      </c>
    </row>
    <row r="18">
      <c r="A18" s="2" t="inlineStr">
        <is>
          <t>Active Customers  (FILTER spill)</t>
        </is>
      </c>
    </row>
    <row r="19">
      <c r="A19" s="3" t="inlineStr">
        <is>
          <t>Name</t>
        </is>
      </c>
      <c r="B19" s="3" t="inlineStr">
        <is>
          <t>Segment</t>
        </is>
      </c>
      <c r="C19" s="3" t="inlineStr">
        <is>
          <t>ARR ($)</t>
        </is>
      </c>
    </row>
    <row r="20">
      <c r="A20" s="21">
        <f>FILTER(Customers[CustomerName],Customers[Status]="Active")</f>
        <v/>
      </c>
      <c r="B20" s="21">
        <f>FILTER(Customers[Segment],Customers[Status]="Active")</f>
        <v/>
      </c>
      <c r="C20" s="14">
        <f>FILTER(Customers[ARR],Customers[Status]="Active")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2026-03-15T14:23:51Z</dcterms:created>
  <dcterms:modified xmlns:dcterms="http://purl.org/dc/terms/" xmlns:xsi="http://www.w3.org/2001/XMLSchema-instance" xsi:type="dcterms:W3CDTF">2026-03-15T14:23:51Z</dcterms:modified>
</cp:coreProperties>
</file>